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P&amp;L" sheetId="1" state="visible" r:id="rId3"/>
    <sheet name="Unit Economi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<sst xmlns="http://schemas.openxmlformats.org/spreadsheetml/2006/main" count="88" uniqueCount="88">
  <si>
    <t xml:space="preserve">UP by Project Oranges — 5-Year Operating Model</t>
  </si>
  <si>
    <t xml:space="preserve">Unlevered FCF positive from Year 1. No debt. No financial engineering.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</si>
  <si>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</si>
  <si>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</si>
  <si>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</si>
  <si>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</si>
  <si>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</si>
  <si>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OPERATING METRICS</t>
  </si>
  <si>
    <t xml:space="preserve">GC Customers (cumulative)</t>
  </si>
  <si>
    <t xml:space="preserve">New GCs / month (avg)</t>
  </si>
  <si>
    <t xml:space="preserve">Annual GC Churn</t>
  </si>
  <si>
    <t xml:space="preserve">Sub Customers</t>
  </si>
  <si>
    <t xml:space="preserve">Headcount</t>
  </si>
  <si>
    <t xml:space="preserve">REVENUE ($000s)</t>
  </si>
  <si>
    <t xml:space="preserve">GC Subscriptions &amp; Projects</t>
  </si>
  <si>
    <t xml:space="preserve">Sub Subscriptions</t>
  </si>
  <si>
    <t xml:space="preserve">Transaction Revenue (payments, waivers)</t>
  </si>
  <si>
    <t xml:space="preserve">Total Revenue</t>
  </si>
  <si>
    <t xml:space="preserve">YoY Revenue Growth</t>
  </si>
  <si>
    <t xml:space="preserve">n/a</t>
  </si>
  <si>
    <t xml:space="preserve">COST OF REVENUE ($000s)</t>
  </si>
  <si>
    <t xml:space="preserve">LLM / AI Costs</t>
  </si>
  <si>
    <t xml:space="preserve">Infrastructure (hosting, storage)</t>
  </si>
  <si>
    <t xml:space="preserve">Payment Processing</t>
  </si>
  <si>
    <t xml:space="preserve">Customer Support</t>
  </si>
  <si>
    <t xml:space="preserve">Total COGS</t>
  </si>
  <si>
    <t xml:space="preserve">Gross Profit</t>
  </si>
  <si>
    <t xml:space="preserve">Gross Margin %</t>
  </si>
  <si>
    <t xml:space="preserve">OPERATING EXPENSES ($000s)</t>
  </si>
  <si>
    <t xml:space="preserve">Engineering (salaries + benefits)</t>
  </si>
  <si>
    <t xml:space="preserve">Sales &amp; Marketing</t>
  </si>
  <si>
    <t xml:space="preserve">G&amp;A (legal, accounting, ops)</t>
  </si>
  <si>
    <t xml:space="preserve">Total OpEx</t>
  </si>
  <si>
    <t xml:space="preserve">S&amp;M % of Revenue</t>
  </si>
  <si>
    <t xml:space="preserve">EBITDA</t>
  </si>
  <si>
    <t xml:space="preserve">EBITDA Margin %</t>
  </si>
  <si>
    <t xml:space="preserve">BRIDGE TO UNLEVERED FCF ($000s)</t>
  </si>
  <si>
    <t xml:space="preserve">D&amp;A (capitalized dev)</t>
  </si>
  <si>
    <t xml:space="preserve">Pre-Tax Income</t>
  </si>
  <si>
    <t xml:space="preserve">Tax Rate</t>
  </si>
  <si>
    <t xml:space="preserve">Taxes</t>
  </si>
  <si>
    <t xml:space="preserve">NOPAT (Net Operating Profit After Tax)</t>
  </si>
  <si>
    <t xml:space="preserve">(+) Add back D&amp;A</t>
  </si>
  <si>
    <t xml:space="preserve">(-) CapEx</t>
  </si>
  <si>
    <t xml:space="preserve">(-) Changes in Working Capital</t>
  </si>
  <si>
    <t xml:space="preserve">Unlevered Free Cash Flow</t>
  </si>
  <si>
    <t xml:space="preserve">ULFCF Margin %</t>
  </si>
  <si>
    <t xml:space="preserve">Cumulative ULFCF</t>
  </si>
  <si>
    <t xml:space="preserve">KEY RATIOS</t>
  </si>
  <si>
    <t xml:space="preserve">Revenue / Employee ($000s)</t>
  </si>
  <si>
    <t xml:space="preserve">ULFCF / Employee ($000s)</t>
  </si>
  <si>
    <t xml:space="preserve">KEY ASSUMPTIONS</t>
  </si>
  <si>
    <t xml:space="preserve">GC ARPU: $35K/yr ($15K subscription + ~4 projects at $5K). Mid-market GC runs 7 projects/year.</t>
  </si>
  <si>
    <t xml:space="preserve">Sub ARPU: ~$3K/yr blended. Subs enter free via GC invites; paid conversion grows over time.</t>
  </si>
  <si>
    <t xml:space="preserve">Churn: 5% annual (Y1-Y3), declining to 4% as switching costs increase with accounting depth.</t>
  </si>
  <si>
    <t xml:space="preserve">Gross margin expansion: LLM costs decline ~30%/yr. Caching + model routing reduce per-query cost.</t>
  </si>
  <si>
    <t xml:space="preserve">S&amp;M: 12% of revenue Y1, declining to 10% by Y5. PLG motion with closer, no enterprise sales team.</t>
  </si>
  <si>
    <t xml:space="preserve">Headcount: Engineering-heavy. AI handles onboarding, support triage, and account management.</t>
  </si>
  <si>
    <t xml:space="preserve">Embedded finance revenue (Float 1) is NOT included. SaaS + transactions only.</t>
  </si>
  <si>
    <t xml:space="preserve">Tax: 25% blended federal + state on pre-tax income.</t>
  </si>
  <si>
    <t xml:space="preserve">Inputs in blue. Formulas in black.</t>
  </si>
  <si>
    <t xml:space="preserve">Unit Economics &amp; Sales Funnel</t>
  </si>
  <si>
    <t xml:space="preserve">SALES FUNNEL (MONTHLY)</t>
  </si>
  <si>
    <t xml:space="preserve">Volume</t>
  </si>
  <si>
    <t xml:space="preserve">Conversion</t>
  </si>
  <si>
    <t xml:space="preserve">MQLs (inbound leads)</t>
  </si>
  <si>
    <t xml:space="preserve">SQLs (qualified)</t>
  </si>
  <si>
    <t xml:space="preserve">Trials / Demos</t>
  </si>
  <si>
    <t xml:space="preserve">Closed Won</t>
  </si>
  <si>
    <t xml:space="preserve">MQL → Close Rate</t>
  </si>
  <si>
    <t xml:space="preserve">BLENDED CAC</t>
  </si>
  <si>
    <t xml:space="preserve">Monthly</t>
  </si>
  <si>
    <t xml:space="preserve">Annual</t>
  </si>
  <si>
    <t xml:space="preserve">Marketing (content, SEO, trade shows, events)</t>
  </si>
  <si>
    <t xml:space="preserve">Sales &amp; Onboarding (2 FTE)</t>
  </si>
  <si>
    <t xml:space="preserve">Tools, trial costs &amp; overhead</t>
  </si>
  <si>
    <t xml:space="preserve">Total S&amp;M</t>
  </si>
  <si>
    <t xml:space="preserve">New GCs / month</t>
  </si>
  <si>
    <t xml:space="preserve">Network-effect GCs (~15%)</t>
  </si>
  <si>
    <t xml:space="preserve">Blended CAC per GC</t>
  </si>
  <si>
    <t xml:space="preserve">LTV / CAC</t>
  </si>
  <si>
    <t xml:space="preserve">Annual Revenue per GC</t>
  </si>
  <si>
    <t xml:space="preserve">Gross Margin</t>
  </si>
  <si>
    <t xml:space="preserve">Customer Life (years)</t>
  </si>
  <si>
    <t xml:space="preserve">Avg Annual Retention</t>
  </si>
  <si>
    <t xml:space="preserve">LTV</t>
  </si>
  <si>
    <t xml:space="preserve">LTV : CAC</t>
  </si>
  <si>
    <t xml:space="preserve">CAC Payback (months)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</si>
</sst>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\$#,##0;&quot;($&quot;#,##0\);\-"/>
    <numFmt numFmtId="168" formatCode="0%"/>
    <numFmt numFmtId="169" formatCode="\$#,##0"/>
    <numFmt numFmtId="170" formatCode="0.0"/>
    <numFmt numFmtId="171" formatCode="0.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944A2D"/>
      <name val="DM Serif Display"/>
      <family val="0"/>
      <charset val="1"/>
    </font>
    <font>
      <i val="true"/>
      <sz val="10"/>
      <color rgb="FF636F65"/>
      <name val="Inter"/>
      <family val="0"/>
      <charset val="1"/>
    </font>
    <font>
      <b val="true"/>
      <sz val="11"/>
      <color rgb="FFFFFFFF"/>
      <name val="Inter"/>
      <family val="0"/>
      <charset val="1"/>
    </font>
    <font>
      <b val="true"/>
      <sz val="11"/>
      <color rgb="FF944A2D"/>
      <name val="Inter"/>
      <family val="0"/>
      <charset val="1"/>
    </font>
    <font>
      <sz val="10"/>
      <color rgb="FF000000"/>
      <name val="Inter"/>
      <family val="0"/>
      <charset val="1"/>
    </font>
    <font>
      <sz val="10"/>
      <color rgb="FF0000FF"/>
      <name val="Inter"/>
      <family val="0"/>
      <charset val="1"/>
    </font>
    <font>
      <b val="true"/>
      <sz val="10"/>
      <color rgb="FF000000"/>
      <name val="Inter"/>
      <family val="0"/>
      <charset val="1"/>
    </font>
    <font>
      <b val="true"/>
      <sz val="11"/>
      <color rgb="FF4A7C59"/>
      <name val="Inter"/>
      <family val="0"/>
      <charset val="1"/>
    </font>
    <font>
      <b val="true"/>
      <sz val="12"/>
      <color rgb="FF4A7C59"/>
      <name val="Inter"/>
      <family val="0"/>
      <charset val="1"/>
    </font>
    <font>
      <b val="true"/>
      <sz val="10"/>
      <color rgb="FF944A2D"/>
      <name val="Inter"/>
      <family val="0"/>
      <charset val="1"/>
    </font>
    <font>
      <sz val="9"/>
      <color rgb="FF636F65"/>
      <name val="Inter"/>
      <family val="0"/>
      <charset val="1"/>
    </font>
    <font>
      <b val="true"/>
      <sz val="14"/>
      <color rgb="FF944A2D"/>
      <name val="DM Serif Display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2518"/>
        <bgColor rgb="FF333333"/>
      </patternFill>
    </fill>
    <fill>
      <patternFill patternType="solid">
        <fgColor rgb="FFE8DDD0"/>
        <bgColor rgb="FFE8EDE6"/>
      </patternFill>
    </fill>
    <fill>
      <patternFill patternType="solid">
        <fgColor rgb="FFE8EDE6"/>
        <bgColor rgb="FFE8DDD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944A2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DE6"/>
      <rgbColor rgb="FFCCFFFF"/>
      <rgbColor rgb="FF660066"/>
      <rgbColor rgb="FFFF8080"/>
      <rgbColor rgb="FF0066CC"/>
      <rgbColor rgb="FFE8DD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36F65"/>
      <rgbColor rgb="FF969696"/>
      <rgbColor rgb="FF003366"/>
      <rgbColor rgb="FF4A7C59"/>
      <rgbColor rgb="FF003300"/>
      <rgbColor rgb="FF3B2518"/>
      <rgbColor rgb="FF944A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4A2D"/>
    <pageSetUpPr fitToPage="false"/>
  </sheetPr>
  <dimension ref="A1:G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7" min="3" style="1" width="16"/>
  </cols>
  <sheetData>
    <row r="1" customFormat="false" ht="19.5" hidden="false" customHeight="true" outlineLevel="0" collapsed="false">
      <c r="B1" s="2" t="s">
        <v>0</v>
      </c>
      <c r="C1" s="2"/>
      <c r="D1" s="2"/>
      <c r="E1" s="2"/>
      <c r="F1" s="2"/>
      <c r="G1" s="2"/>
    </row>
    <row r="2" customFormat="false" ht="15" hidden="false" customHeight="true" outlineLevel="0" collapsed="false">
      <c r="B2" s="3" t="s">
        <v>1</v>
      </c>
    </row>
    <row r="4" customFormat="false" ht="15" hidden="false" customHeight="true" outlineLevel="0" collapsed="false">
      <c r="A4" s="4"/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</row>
    <row r="6" customFormat="false" ht="15" hidden="false" customHeight="true" outlineLevel="0" collapsed="false">
      <c r="A6" s="6"/>
      <c r="B6" s="7" t="s">
        <v>7</v>
      </c>
      <c r="C6" s="6"/>
      <c r="D6" s="6"/>
      <c r="E6" s="6"/>
      <c r="F6" s="6"/>
      <c r="G6" s="6"/>
    </row>
    <row r="7" customFormat="false" ht="15" hidden="false" customHeight="true" outlineLevel="0" collapsed="false">
      <c r="B7" s="8" t="s">
        <v>8</v>
      </c>
      <c r="C7" s="9" t="n">
        <v>45</v>
      </c>
      <c r="D7" s="9" t="n">
        <v>130</v>
      </c>
      <c r="E7" s="9" t="n">
        <v>300</v>
      </c>
      <c r="F7" s="9" t="n">
        <v>550</v>
      </c>
      <c r="G7" s="9" t="n">
        <v>850</v>
      </c>
    </row>
    <row r="8" customFormat="false" ht="15" hidden="false" customHeight="true" outlineLevel="0" collapsed="false">
      <c r="B8" s="8" t="s">
        <v>9</v>
      </c>
      <c r="C8" s="9" t="n">
        <v>4</v>
      </c>
      <c r="D8" s="9" t="n">
        <v>8</v>
      </c>
      <c r="E8" s="9" t="n">
        <v>15</v>
      </c>
      <c r="F8" s="9" t="n">
        <v>25</v>
      </c>
      <c r="G8" s="9" t="n">
        <v>30</v>
      </c>
    </row>
    <row r="9" customFormat="false" ht="15" hidden="false" customHeight="true" outlineLevel="0" collapsed="false">
      <c r="B9" s="8" t="s">
        <v>10</v>
      </c>
      <c r="C9" s="10" t="n">
        <v>0.05</v>
      </c>
      <c r="D9" s="10" t="n">
        <v>0.05</v>
      </c>
      <c r="E9" s="10" t="n">
        <v>0.05</v>
      </c>
      <c r="F9" s="10" t="n">
        <v>0.04</v>
      </c>
      <c r="G9" s="10" t="n">
        <v>0.04</v>
      </c>
    </row>
    <row r="10" customFormat="false" ht="15" hidden="false" customHeight="true" outlineLevel="0" collapsed="false">
      <c r="B10" s="8" t="s">
        <v>11</v>
      </c>
      <c r="C10" s="9" t="n">
        <v>675</v>
      </c>
      <c r="D10" s="9" t="n">
        <v>1950</v>
      </c>
      <c r="E10" s="9" t="n">
        <v>4500</v>
      </c>
      <c r="F10" s="9" t="n">
        <v>8250</v>
      </c>
      <c r="G10" s="9" t="n">
        <v>12750</v>
      </c>
    </row>
    <row r="11" customFormat="false" ht="15" hidden="false" customHeight="true" outlineLevel="0" collapsed="false">
      <c r="B11" s="8" t="s">
        <v>12</v>
      </c>
      <c r="C11" s="9" t="n">
        <v>5</v>
      </c>
      <c r="D11" s="9" t="n">
        <v>10</v>
      </c>
      <c r="E11" s="9" t="n">
        <v>18</v>
      </c>
      <c r="F11" s="9" t="n">
        <v>30</v>
      </c>
      <c r="G11" s="9" t="n">
        <v>45</v>
      </c>
    </row>
    <row r="13" customFormat="false" ht="15" hidden="false" customHeight="true" outlineLevel="0" collapsed="false">
      <c r="A13" s="6"/>
      <c r="B13" s="7" t="s">
        <v>13</v>
      </c>
      <c r="C13" s="6"/>
      <c r="D13" s="6"/>
      <c r="E13" s="6"/>
      <c r="F13" s="6"/>
      <c r="G13" s="6"/>
    </row>
    <row r="14" customFormat="false" ht="15" hidden="false" customHeight="true" outlineLevel="0" collapsed="false">
      <c r="B14" s="8" t="s">
        <v>14</v>
      </c>
      <c r="C14" s="11" t="n">
        <v>1100</v>
      </c>
      <c r="D14" s="11" t="n">
        <v>3800</v>
      </c>
      <c r="E14" s="11" t="n">
        <v>9000</v>
      </c>
      <c r="F14" s="11" t="n">
        <v>17500</v>
      </c>
      <c r="G14" s="11" t="n">
        <v>28000</v>
      </c>
    </row>
    <row r="15" customFormat="false" ht="15" hidden="false" customHeight="true" outlineLevel="0" collapsed="false">
      <c r="B15" s="8" t="s">
        <v>15</v>
      </c>
      <c r="C15" s="11" t="n">
        <v>200</v>
      </c>
      <c r="D15" s="11" t="n">
        <v>650</v>
      </c>
      <c r="E15" s="11" t="n">
        <v>1600</v>
      </c>
      <c r="F15" s="11" t="n">
        <v>3300</v>
      </c>
      <c r="G15" s="11" t="n">
        <v>5400</v>
      </c>
    </row>
    <row r="16" customFormat="false" ht="15" hidden="false" customHeight="true" outlineLevel="0" collapsed="false">
      <c r="B16" s="8" t="s">
        <v>16</v>
      </c>
      <c r="C16" s="11" t="n">
        <v>100</v>
      </c>
      <c r="D16" s="11" t="n">
        <v>450</v>
      </c>
      <c r="E16" s="11" t="n">
        <v>1400</v>
      </c>
      <c r="F16" s="11" t="n">
        <v>2800</v>
      </c>
      <c r="G16" s="11" t="n">
        <v>4600</v>
      </c>
    </row>
    <row r="17" customFormat="false" ht="15" hidden="false" customHeight="true" outlineLevel="0" collapsed="false">
      <c r="B17" s="12" t="s">
        <v>17</v>
      </c>
      <c r="C17" s="13" t="n">
        <f aca="false">SUM(C14:C16)</f>
        <v>1400</v>
      </c>
      <c r="D17" s="13" t="n">
        <f aca="false">SUM(D14:D16)</f>
        <v>4900</v>
      </c>
      <c r="E17" s="13" t="n">
        <f aca="false">SUM(E14:E16)</f>
        <v>12000</v>
      </c>
      <c r="F17" s="13" t="n">
        <f aca="false">SUM(F14:F16)</f>
        <v>23600</v>
      </c>
      <c r="G17" s="13" t="n">
        <f aca="false">SUM(G14:G16)</f>
        <v>38000</v>
      </c>
    </row>
    <row r="18" customFormat="false" ht="15" hidden="false" customHeight="true" outlineLevel="0" collapsed="false">
      <c r="B18" s="8" t="s">
        <v>18</v>
      </c>
      <c r="C18" s="14" t="s">
        <v>19</v>
      </c>
      <c r="D18" s="10" t="n">
        <f aca="false">(D17-C17)/C17</f>
        <v>2.5</v>
      </c>
      <c r="E18" s="10" t="n">
        <f aca="false">(E17-D17)/D17</f>
        <v>1.44897959183673</v>
      </c>
      <c r="F18" s="10" t="n">
        <f aca="false">(F17-E17)/E17</f>
        <v>0.966666666666667</v>
      </c>
      <c r="G18" s="10" t="n">
        <f aca="false">(G17-F17)/F17</f>
        <v>0.610169491525424</v>
      </c>
    </row>
    <row r="20" customFormat="false" ht="15" hidden="false" customHeight="true" outlineLevel="0" collapsed="false">
      <c r="A20" s="6"/>
      <c r="B20" s="7" t="s">
        <v>20</v>
      </c>
      <c r="C20" s="6"/>
      <c r="D20" s="6"/>
      <c r="E20" s="6"/>
      <c r="F20" s="6"/>
      <c r="G20" s="6"/>
    </row>
    <row r="21" customFormat="false" ht="15" hidden="false" customHeight="true" outlineLevel="0" collapsed="false">
      <c r="B21" s="8" t="s">
        <v>21</v>
      </c>
      <c r="C21" s="11" t="n">
        <v>-120</v>
      </c>
      <c r="D21" s="11" t="n">
        <v>-345</v>
      </c>
      <c r="E21" s="11" t="n">
        <v>-720</v>
      </c>
      <c r="F21" s="11" t="n">
        <v>-1180</v>
      </c>
      <c r="G21" s="11" t="n">
        <v>-1710</v>
      </c>
    </row>
    <row r="22" customFormat="false" ht="15" hidden="false" customHeight="true" outlineLevel="0" collapsed="false">
      <c r="B22" s="8" t="s">
        <v>22</v>
      </c>
      <c r="C22" s="11" t="n">
        <v>-42</v>
      </c>
      <c r="D22" s="11" t="n">
        <v>-100</v>
      </c>
      <c r="E22" s="11" t="n">
        <v>-240</v>
      </c>
      <c r="F22" s="11" t="n">
        <v>-470</v>
      </c>
      <c r="G22" s="11" t="n">
        <v>-760</v>
      </c>
    </row>
    <row r="23" customFormat="false" ht="15" hidden="false" customHeight="true" outlineLevel="0" collapsed="false">
      <c r="B23" s="8" t="s">
        <v>23</v>
      </c>
      <c r="C23" s="11" t="n">
        <v>-28</v>
      </c>
      <c r="D23" s="11" t="n">
        <v>-100</v>
      </c>
      <c r="E23" s="11" t="n">
        <v>-240</v>
      </c>
      <c r="F23" s="11" t="n">
        <v>-470</v>
      </c>
      <c r="G23" s="11" t="n">
        <v>-760</v>
      </c>
    </row>
    <row r="24" customFormat="false" ht="15" hidden="false" customHeight="true" outlineLevel="0" collapsed="false">
      <c r="B24" s="8" t="s">
        <v>24</v>
      </c>
      <c r="C24" s="11" t="n">
        <v>-70</v>
      </c>
      <c r="D24" s="11" t="n">
        <v>-245</v>
      </c>
      <c r="E24" s="11" t="n">
        <v>-600</v>
      </c>
      <c r="F24" s="11" t="n">
        <v>-1180</v>
      </c>
      <c r="G24" s="11" t="n">
        <v>-1900</v>
      </c>
    </row>
    <row r="25" customFormat="false" ht="15" hidden="false" customHeight="true" outlineLevel="0" collapsed="false">
      <c r="B25" s="12" t="s">
        <v>25</v>
      </c>
      <c r="C25" s="13" t="n">
        <f aca="false">SUM(C21:C24)</f>
        <v>-260</v>
      </c>
      <c r="D25" s="13" t="n">
        <f aca="false">SUM(D21:D24)</f>
        <v>-790</v>
      </c>
      <c r="E25" s="13" t="n">
        <f aca="false">SUM(E21:E24)</f>
        <v>-1800</v>
      </c>
      <c r="F25" s="13" t="n">
        <f aca="false">SUM(F21:F24)</f>
        <v>-3300</v>
      </c>
      <c r="G25" s="13" t="n">
        <f aca="false">SUM(G21:G24)</f>
        <v>-5130</v>
      </c>
    </row>
    <row r="27" customFormat="false" ht="15" hidden="false" customHeight="true" outlineLevel="0" collapsed="false">
      <c r="A27" s="15"/>
      <c r="B27" s="16" t="s">
        <v>26</v>
      </c>
      <c r="C27" s="17" t="n">
        <f aca="false">C17+C25</f>
        <v>1140</v>
      </c>
      <c r="D27" s="17" t="n">
        <f aca="false">D17+D25</f>
        <v>4110</v>
      </c>
      <c r="E27" s="17" t="n">
        <f aca="false">E17+E25</f>
        <v>10200</v>
      </c>
      <c r="F27" s="17" t="n">
        <f aca="false">F17+F25</f>
        <v>20300</v>
      </c>
      <c r="G27" s="17" t="n">
        <f aca="false">G17+G25</f>
        <v>32870</v>
      </c>
    </row>
    <row r="28" customFormat="false" ht="15" hidden="false" customHeight="true" outlineLevel="0" collapsed="false">
      <c r="B28" s="8" t="s">
        <v>27</v>
      </c>
      <c r="C28" s="10" t="n">
        <f aca="false">C27/C17</f>
        <v>0.814285714285714</v>
      </c>
      <c r="D28" s="10" t="n">
        <f aca="false">D27/D17</f>
        <v>0.838775510204082</v>
      </c>
      <c r="E28" s="10" t="n">
        <f aca="false">E27/E17</f>
        <v>0.85</v>
      </c>
      <c r="F28" s="10" t="n">
        <f aca="false">F27/F17</f>
        <v>0.860169491525424</v>
      </c>
      <c r="G28" s="10" t="n">
        <f aca="false">G27/G17</f>
        <v>0.865</v>
      </c>
    </row>
    <row r="30" customFormat="false" ht="15" hidden="false" customHeight="true" outlineLevel="0" collapsed="false">
      <c r="A30" s="6"/>
      <c r="B30" s="7" t="s">
        <v>28</v>
      </c>
      <c r="C30" s="6"/>
      <c r="D30" s="6"/>
      <c r="E30" s="6"/>
      <c r="F30" s="6"/>
      <c r="G30" s="6"/>
    </row>
    <row r="31" customFormat="false" ht="15" hidden="false" customHeight="true" outlineLevel="0" collapsed="false">
      <c r="B31" s="8" t="s">
        <v>29</v>
      </c>
      <c r="C31" s="11" t="n">
        <v>-600</v>
      </c>
      <c r="D31" s="11" t="n">
        <v>-1200</v>
      </c>
      <c r="E31" s="11" t="n">
        <v>-2160</v>
      </c>
      <c r="F31" s="11" t="n">
        <v>-3600</v>
      </c>
      <c r="G31" s="11" t="n">
        <v>-5400</v>
      </c>
    </row>
    <row r="32" customFormat="false" ht="15" hidden="false" customHeight="true" outlineLevel="0" collapsed="false">
      <c r="B32" s="8" t="s">
        <v>30</v>
      </c>
      <c r="C32" s="11" t="n">
        <v>-800</v>
      </c>
      <c r="D32" s="11" t="n">
        <v>-1550</v>
      </c>
      <c r="E32" s="11" t="n">
        <v>-3060</v>
      </c>
      <c r="F32" s="11" t="n">
        <v>-4700</v>
      </c>
      <c r="G32" s="11" t="n">
        <v>-6500</v>
      </c>
    </row>
    <row r="33" customFormat="false" ht="15" hidden="false" customHeight="true" outlineLevel="0" collapsed="false">
      <c r="B33" s="8" t="s">
        <v>31</v>
      </c>
      <c r="C33" s="11" t="n">
        <v>-150</v>
      </c>
      <c r="D33" s="11" t="n">
        <v>-300</v>
      </c>
      <c r="E33" s="11" t="n">
        <v>-540</v>
      </c>
      <c r="F33" s="11" t="n">
        <v>-900</v>
      </c>
      <c r="G33" s="11" t="n">
        <v>-1350</v>
      </c>
    </row>
    <row r="34" customFormat="false" ht="15" hidden="false" customHeight="true" outlineLevel="0" collapsed="false">
      <c r="B34" s="12" t="s">
        <v>32</v>
      </c>
      <c r="C34" s="13" t="n">
        <f aca="false">SUM(C31:C33)</f>
        <v>-1550</v>
      </c>
      <c r="D34" s="13" t="n">
        <f aca="false">SUM(D31:D33)</f>
        <v>-3050</v>
      </c>
      <c r="E34" s="13" t="n">
        <f aca="false">SUM(E31:E33)</f>
        <v>-5760</v>
      </c>
      <c r="F34" s="13" t="n">
        <f aca="false">SUM(F31:F33)</f>
        <v>-9200</v>
      </c>
      <c r="G34" s="13" t="n">
        <f aca="false">SUM(G31:G33)</f>
        <v>-13250</v>
      </c>
    </row>
    <row r="35" customFormat="false" ht="15" hidden="false" customHeight="true" outlineLevel="0" collapsed="false">
      <c r="B35" s="8" t="s">
        <v>33</v>
      </c>
      <c r="C35" s="10" t="n">
        <f aca="false">ABS(C32)/C17</f>
        <v>0.571428571428571</v>
      </c>
      <c r="D35" s="10" t="n">
        <f aca="false">ABS(D32)/D17</f>
        <v>0.316326530612245</v>
      </c>
      <c r="E35" s="10" t="n">
        <f aca="false">ABS(E32)/E17</f>
        <v>0.255</v>
      </c>
      <c r="F35" s="10" t="n">
        <f aca="false">ABS(F32)/F17</f>
        <v>0.199152542372881</v>
      </c>
      <c r="G35" s="10" t="n">
        <f aca="false">ABS(G32)/G17</f>
        <v>0.171052631578947</v>
      </c>
    </row>
    <row r="37" customFormat="false" ht="15" hidden="false" customHeight="true" outlineLevel="0" collapsed="false">
      <c r="A37" s="15"/>
      <c r="B37" s="16" t="s">
        <v>34</v>
      </c>
      <c r="C37" s="17" t="n">
        <f aca="false">C27+C34</f>
        <v>-410</v>
      </c>
      <c r="D37" s="17" t="n">
        <f aca="false">D27+D34</f>
        <v>1060</v>
      </c>
      <c r="E37" s="17" t="n">
        <f aca="false">E27+E34</f>
        <v>4440</v>
      </c>
      <c r="F37" s="17" t="n">
        <f aca="false">F27+F34</f>
        <v>11100</v>
      </c>
      <c r="G37" s="17" t="n">
        <f aca="false">G27+G34</f>
        <v>19620</v>
      </c>
    </row>
    <row r="38" customFormat="false" ht="15" hidden="false" customHeight="true" outlineLevel="0" collapsed="false">
      <c r="B38" s="8" t="s">
        <v>35</v>
      </c>
      <c r="C38" s="10" t="n">
        <f aca="false">C37/C17</f>
        <v>-0.292857142857143</v>
      </c>
      <c r="D38" s="10" t="n">
        <f aca="false">D37/D17</f>
        <v>0.216326530612245</v>
      </c>
      <c r="E38" s="10" t="n">
        <f aca="false">E37/E17</f>
        <v>0.37</v>
      </c>
      <c r="F38" s="10" t="n">
        <f aca="false">F37/F17</f>
        <v>0.470338983050848</v>
      </c>
      <c r="G38" s="10" t="n">
        <f aca="false">G37/G17</f>
        <v>0.516315789473684</v>
      </c>
    </row>
    <row r="40" customFormat="false" ht="15" hidden="false" customHeight="true" outlineLevel="0" collapsed="false">
      <c r="A40" s="6"/>
      <c r="B40" s="7" t="s">
        <v>36</v>
      </c>
      <c r="C40" s="6"/>
      <c r="D40" s="6"/>
      <c r="E40" s="6"/>
      <c r="F40" s="6"/>
      <c r="G40" s="6"/>
    </row>
    <row r="41" customFormat="false" ht="15" hidden="false" customHeight="true" outlineLevel="0" collapsed="false">
      <c r="B41" s="8" t="s">
        <v>37</v>
      </c>
      <c r="C41" s="11" t="n">
        <v>-30</v>
      </c>
      <c r="D41" s="11" t="n">
        <v>-80</v>
      </c>
      <c r="E41" s="11" t="n">
        <v>-150</v>
      </c>
      <c r="F41" s="11" t="n">
        <v>-250</v>
      </c>
      <c r="G41" s="11" t="n">
        <v>-380</v>
      </c>
    </row>
    <row r="42" customFormat="false" ht="15" hidden="false" customHeight="true" outlineLevel="0" collapsed="false">
      <c r="B42" s="12" t="s">
        <v>38</v>
      </c>
      <c r="C42" s="13" t="n">
        <f aca="false">C37+C41</f>
        <v>-440</v>
      </c>
      <c r="D42" s="13" t="n">
        <f aca="false">D37+D41</f>
        <v>980</v>
      </c>
      <c r="E42" s="13" t="n">
        <f aca="false">E37+E41</f>
        <v>4290</v>
      </c>
      <c r="F42" s="13" t="n">
        <f aca="false">F37+F41</f>
        <v>10850</v>
      </c>
      <c r="G42" s="13" t="n">
        <f aca="false">G37+G41</f>
        <v>19240</v>
      </c>
    </row>
    <row r="43" customFormat="false" ht="15" hidden="false" customHeight="true" outlineLevel="0" collapsed="false">
      <c r="B43" s="8" t="s">
        <v>39</v>
      </c>
      <c r="C43" s="10" t="n">
        <v>0.25</v>
      </c>
      <c r="D43" s="10" t="n">
        <v>0.25</v>
      </c>
      <c r="E43" s="10" t="n">
        <v>0.25</v>
      </c>
      <c r="F43" s="10" t="n">
        <v>0.25</v>
      </c>
      <c r="G43" s="10" t="n">
        <v>0.25</v>
      </c>
    </row>
    <row r="44" customFormat="false" ht="15" hidden="false" customHeight="true" outlineLevel="0" collapsed="false">
      <c r="B44" s="8" t="s">
        <v>40</v>
      </c>
      <c r="C44" s="18" t="n">
        <f aca="false">-MAX(C42*C43,0)</f>
        <v>-0</v>
      </c>
      <c r="D44" s="18" t="n">
        <f aca="false">-MAX(D42*D43,0)</f>
        <v>-245</v>
      </c>
      <c r="E44" s="18" t="n">
        <f aca="false">-MAX(E42*E43,0)</f>
        <v>-1072.5</v>
      </c>
      <c r="F44" s="18" t="n">
        <f aca="false">-MAX(F42*F43,0)</f>
        <v>-2712.5</v>
      </c>
      <c r="G44" s="18" t="n">
        <f aca="false">-MAX(G42*G43,0)</f>
        <v>-4810</v>
      </c>
    </row>
    <row r="45" customFormat="false" ht="15" hidden="false" customHeight="true" outlineLevel="0" collapsed="false">
      <c r="B45" s="12" t="s">
        <v>41</v>
      </c>
      <c r="C45" s="13" t="n">
        <f aca="false">C42+C44</f>
        <v>-440</v>
      </c>
      <c r="D45" s="13" t="n">
        <f aca="false">D42+D44</f>
        <v>735</v>
      </c>
      <c r="E45" s="13" t="n">
        <f aca="false">E42+E44</f>
        <v>3217.5</v>
      </c>
      <c r="F45" s="13" t="n">
        <f aca="false">F42+F44</f>
        <v>8137.5</v>
      </c>
      <c r="G45" s="13" t="n">
        <f aca="false">G42+G44</f>
        <v>14430</v>
      </c>
    </row>
    <row r="46" customFormat="false" ht="15" hidden="false" customHeight="true" outlineLevel="0" collapsed="false">
      <c r="B46" s="8" t="s">
        <v>42</v>
      </c>
      <c r="C46" s="18" t="n">
        <f aca="false">ABS(C41)</f>
        <v>30</v>
      </c>
      <c r="D46" s="18" t="n">
        <f aca="false">ABS(D41)</f>
        <v>80</v>
      </c>
      <c r="E46" s="18" t="n">
        <f aca="false">ABS(E41)</f>
        <v>150</v>
      </c>
      <c r="F46" s="18" t="n">
        <f aca="false">ABS(F41)</f>
        <v>250</v>
      </c>
      <c r="G46" s="18" t="n">
        <f aca="false">ABS(G41)</f>
        <v>380</v>
      </c>
    </row>
    <row r="47" customFormat="false" ht="15" hidden="false" customHeight="true" outlineLevel="0" collapsed="false">
      <c r="B47" s="8" t="s">
        <v>43</v>
      </c>
      <c r="C47" s="11" t="n">
        <v>-15</v>
      </c>
      <c r="D47" s="11" t="n">
        <v>-35</v>
      </c>
      <c r="E47" s="11" t="n">
        <v>-75</v>
      </c>
      <c r="F47" s="11" t="n">
        <v>-120</v>
      </c>
      <c r="G47" s="11" t="n">
        <v>-175</v>
      </c>
    </row>
    <row r="48" customFormat="false" ht="15" hidden="false" customHeight="true" outlineLevel="0" collapsed="false">
      <c r="B48" s="8" t="s">
        <v>44</v>
      </c>
      <c r="C48" s="11" t="n">
        <v>-50</v>
      </c>
      <c r="D48" s="11" t="n">
        <v>-100</v>
      </c>
      <c r="E48" s="11" t="n">
        <v>-150</v>
      </c>
      <c r="F48" s="11" t="n">
        <v>-200</v>
      </c>
      <c r="G48" s="11" t="n">
        <v>-250</v>
      </c>
    </row>
    <row r="50" customFormat="false" ht="15" hidden="false" customHeight="true" outlineLevel="0" collapsed="false">
      <c r="A50" s="15"/>
      <c r="B50" s="19" t="s">
        <v>45</v>
      </c>
      <c r="C50" s="20" t="n">
        <f aca="false">C45+C46+C47+C48</f>
        <v>-475</v>
      </c>
      <c r="D50" s="20" t="n">
        <f aca="false">D45+D46+D47+D48</f>
        <v>680</v>
      </c>
      <c r="E50" s="20" t="n">
        <f aca="false">E45+E46+E47+E48</f>
        <v>3142.5</v>
      </c>
      <c r="F50" s="20" t="n">
        <f aca="false">F45+F46+F47+F48</f>
        <v>8067.5</v>
      </c>
      <c r="G50" s="20" t="n">
        <f aca="false">G45+G46+G47+G48</f>
        <v>14385</v>
      </c>
    </row>
    <row r="51" customFormat="false" ht="15" hidden="false" customHeight="true" outlineLevel="0" collapsed="false">
      <c r="B51" s="8" t="s">
        <v>46</v>
      </c>
      <c r="C51" s="10" t="n">
        <f aca="false">C50/C17</f>
        <v>-0.339285714285714</v>
      </c>
      <c r="D51" s="10" t="n">
        <f aca="false">D50/D17</f>
        <v>0.138775510204082</v>
      </c>
      <c r="E51" s="10" t="n">
        <f aca="false">E50/E17</f>
        <v>0.261875</v>
      </c>
      <c r="F51" s="10" t="n">
        <f aca="false">F50/F17</f>
        <v>0.341843220338983</v>
      </c>
      <c r="G51" s="10" t="n">
        <f aca="false">G50/G17</f>
        <v>0.378552631578947</v>
      </c>
    </row>
    <row r="53" customFormat="false" ht="15" hidden="false" customHeight="true" outlineLevel="0" collapsed="false">
      <c r="B53" s="12" t="s">
        <v>47</v>
      </c>
      <c r="C53" s="13" t="n">
        <f aca="false">C50</f>
        <v>-475</v>
      </c>
      <c r="D53" s="13" t="n">
        <f aca="false">C53+D50</f>
        <v>205</v>
      </c>
      <c r="E53" s="13" t="n">
        <f aca="false">D53+E50</f>
        <v>3347.5</v>
      </c>
      <c r="F53" s="13" t="n">
        <f aca="false">E53+F50</f>
        <v>11415</v>
      </c>
      <c r="G53" s="13" t="n">
        <f aca="false">F53+G50</f>
        <v>25800</v>
      </c>
    </row>
    <row r="55" customFormat="false" ht="15" hidden="false" customHeight="true" outlineLevel="0" collapsed="false">
      <c r="A55" s="6"/>
      <c r="B55" s="7" t="s">
        <v>48</v>
      </c>
      <c r="C55" s="6"/>
      <c r="D55" s="6"/>
      <c r="E55" s="6"/>
      <c r="F55" s="6"/>
      <c r="G55" s="6"/>
    </row>
    <row r="56" customFormat="false" ht="15" hidden="false" customHeight="true" outlineLevel="0" collapsed="false">
      <c r="B56" s="8" t="s">
        <v>49</v>
      </c>
      <c r="C56" s="18" t="n">
        <f aca="false">C17/C11</f>
        <v>280</v>
      </c>
      <c r="D56" s="18" t="n">
        <f aca="false">D17/D11</f>
        <v>490</v>
      </c>
      <c r="E56" s="18" t="n">
        <f aca="false">E17/E11</f>
        <v>666.666666666667</v>
      </c>
      <c r="F56" s="18" t="n">
        <f aca="false">F17/F11</f>
        <v>786.666666666667</v>
      </c>
      <c r="G56" s="18" t="n">
        <f aca="false">G17/G11</f>
        <v>844.444444444445</v>
      </c>
    </row>
    <row r="57" customFormat="false" ht="15" hidden="false" customHeight="true" outlineLevel="0" collapsed="false">
      <c r="B57" s="8" t="s">
        <v>50</v>
      </c>
      <c r="C57" s="18" t="n">
        <f aca="false">C50/C11</f>
        <v>-95</v>
      </c>
      <c r="D57" s="18" t="n">
        <f aca="false">D50/D11</f>
        <v>68</v>
      </c>
      <c r="E57" s="18" t="n">
        <f aca="false">E50/E11</f>
        <v>174.583333333333</v>
      </c>
      <c r="F57" s="18" t="n">
        <f aca="false">F50/F11</f>
        <v>268.916666666667</v>
      </c>
      <c r="G57" s="18" t="n">
        <f aca="false">G50/G11</f>
        <v>319.666666666667</v>
      </c>
    </row>
    <row r="60" customFormat="false" ht="15" hidden="false" customHeight="true" outlineLevel="0" collapsed="false">
      <c r="B60" s="21" t="s">
        <v>51</v>
      </c>
    </row>
    <row r="61" customFormat="false" ht="15" hidden="false" customHeight="true" outlineLevel="0" collapsed="false">
      <c r="B61" s="22" t="s">
        <v>52</v>
      </c>
    </row>
    <row r="62" customFormat="false" ht="15" hidden="false" customHeight="true" outlineLevel="0" collapsed="false">
      <c r="B62" s="22" t="s">
        <v>53</v>
      </c>
    </row>
    <row r="63" customFormat="false" ht="15" hidden="false" customHeight="true" outlineLevel="0" collapsed="false">
      <c r="B63" s="22" t="s">
        <v>54</v>
      </c>
    </row>
    <row r="64" customFormat="false" ht="15" hidden="false" customHeight="true" outlineLevel="0" collapsed="false">
      <c r="B64" s="22" t="s">
        <v>55</v>
      </c>
    </row>
    <row r="65" customFormat="false" ht="15" hidden="false" customHeight="true" outlineLevel="0" collapsed="false">
      <c r="B65" s="22" t="s">
        <v>56</v>
      </c>
    </row>
    <row r="66" customFormat="false" ht="15" hidden="false" customHeight="true" outlineLevel="0" collapsed="false">
      <c r="B66" s="22" t="s">
        <v>57</v>
      </c>
    </row>
    <row r="67" customFormat="false" ht="15" hidden="false" customHeight="true" outlineLevel="0" collapsed="false">
      <c r="B67" s="22" t="s">
        <v>58</v>
      </c>
    </row>
    <row r="68" customFormat="false" ht="15" hidden="false" customHeight="true" outlineLevel="0" collapsed="false">
      <c r="B68" s="22" t="s">
        <v>59</v>
      </c>
    </row>
    <row r="69" customFormat="false" ht="15" hidden="false" customHeight="true" outlineLevel="0" collapsed="false">
      <c r="B69" s="22" t="s">
        <v>60</v>
      </c>
    </row>
  </sheetData>
  <mergeCells count="1">
    <mergeCell ref="B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7C59"/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4" min="3" style="1" width="18"/>
  </cols>
  <sheetData>
    <row r="1" customFormat="false" ht="17.25" hidden="false" customHeight="true" outlineLevel="0" collapsed="false">
      <c r="B1" s="23" t="s">
        <v>61</v>
      </c>
      <c r="C1" s="23"/>
      <c r="D1" s="23"/>
    </row>
    <row r="3" customFormat="false" ht="15" hidden="false" customHeight="true" outlineLevel="0" collapsed="false">
      <c r="A3" s="6"/>
      <c r="B3" s="7" t="s">
        <v>62</v>
      </c>
      <c r="C3" s="6"/>
      <c r="D3" s="6"/>
    </row>
    <row r="4" customFormat="false" ht="15" hidden="false" customHeight="true" outlineLevel="0" collapsed="false">
      <c r="A4" s="24"/>
      <c r="B4" s="4"/>
      <c r="C4" s="4" t="s">
        <v>63</v>
      </c>
      <c r="D4" s="4" t="s">
        <v>64</v>
      </c>
    </row>
    <row r="5" customFormat="false" ht="15" hidden="false" customHeight="true" outlineLevel="0" collapsed="false">
      <c r="B5" s="8" t="s">
        <v>65</v>
      </c>
      <c r="C5" s="25" t="n">
        <v>100</v>
      </c>
    </row>
    <row r="6" customFormat="false" ht="15" hidden="false" customHeight="true" outlineLevel="0" collapsed="false">
      <c r="B6" s="8" t="s">
        <v>66</v>
      </c>
      <c r="C6" s="25" t="n">
        <v>25</v>
      </c>
      <c r="D6" s="26" t="n">
        <v>0.25</v>
      </c>
    </row>
    <row r="7" customFormat="false" ht="15" hidden="false" customHeight="true" outlineLevel="0" collapsed="false">
      <c r="B7" s="8" t="s">
        <v>67</v>
      </c>
      <c r="C7" s="25" t="n">
        <v>12</v>
      </c>
      <c r="D7" s="26" t="n">
        <v>0.48</v>
      </c>
    </row>
    <row r="8" customFormat="false" ht="15" hidden="false" customHeight="true" outlineLevel="0" collapsed="false">
      <c r="B8" s="8" t="s">
        <v>68</v>
      </c>
      <c r="C8" s="25" t="n">
        <v>4</v>
      </c>
      <c r="D8" s="26" t="n">
        <v>0.33</v>
      </c>
    </row>
    <row r="9" customFormat="false" ht="15" hidden="false" customHeight="true" outlineLevel="0" collapsed="false">
      <c r="B9" s="12" t="s">
        <v>69</v>
      </c>
      <c r="C9" s="27" t="n">
        <v>0.04</v>
      </c>
    </row>
    <row r="11" customFormat="false" ht="15" hidden="false" customHeight="true" outlineLevel="0" collapsed="false">
      <c r="A11" s="6"/>
      <c r="B11" s="7" t="s">
        <v>70</v>
      </c>
      <c r="C11" s="6"/>
      <c r="D11" s="6"/>
    </row>
    <row r="12" customFormat="false" ht="15" hidden="false" customHeight="true" outlineLevel="0" collapsed="false">
      <c r="A12" s="24"/>
      <c r="B12" s="4"/>
      <c r="C12" s="4" t="s">
        <v>71</v>
      </c>
      <c r="D12" s="4" t="s">
        <v>72</v>
      </c>
    </row>
    <row r="13" customFormat="false" ht="15" hidden="false" customHeight="true" outlineLevel="0" collapsed="false">
      <c r="B13" s="28" t="s">
        <v>73</v>
      </c>
      <c r="C13" s="29" t="n">
        <v>40000</v>
      </c>
      <c r="D13" s="29" t="n">
        <v>480000</v>
      </c>
    </row>
    <row r="14" customFormat="false" ht="15" hidden="false" customHeight="true" outlineLevel="0" collapsed="false">
      <c r="B14" s="28" t="s">
        <v>74</v>
      </c>
      <c r="C14" s="29" t="n">
        <v>25000</v>
      </c>
      <c r="D14" s="29" t="n">
        <v>300000</v>
      </c>
    </row>
    <row r="15" customFormat="false" ht="15" hidden="false" customHeight="true" outlineLevel="0" collapsed="false">
      <c r="B15" s="28" t="s">
        <v>75</v>
      </c>
      <c r="C15" s="29" t="n">
        <v>7000</v>
      </c>
      <c r="D15" s="29" t="n">
        <v>84000</v>
      </c>
    </row>
    <row r="16" customFormat="false" ht="15" hidden="false" customHeight="true" outlineLevel="0" collapsed="false">
      <c r="B16" s="12" t="s">
        <v>76</v>
      </c>
      <c r="C16" s="30" t="n">
        <f aca="false">SUM(C13:C15)</f>
        <v>72000</v>
      </c>
      <c r="D16" s="30" t="n">
        <f aca="false">SUM(D13:D15)</f>
        <v>864000</v>
      </c>
    </row>
    <row r="17" customFormat="false" ht="15" hidden="false" customHeight="true" outlineLevel="0" collapsed="false">
      <c r="B17" s="8" t="s">
        <v>77</v>
      </c>
      <c r="C17" s="28" t="n">
        <v>4</v>
      </c>
    </row>
    <row r="18" customFormat="false" ht="15" hidden="false" customHeight="true" outlineLevel="0" collapsed="false">
      <c r="B18" s="8" t="s">
        <v>78</v>
      </c>
      <c r="C18" s="31" t="n">
        <f aca="false">C17*0.15</f>
        <v>0.6</v>
      </c>
    </row>
    <row r="19" customFormat="false" ht="15" hidden="false" customHeight="true" outlineLevel="0" collapsed="false">
      <c r="B19" s="16" t="s">
        <v>79</v>
      </c>
      <c r="C19" s="32" t="n">
        <f aca="false">C16/(C17+C18)</f>
        <v>15652.1739130435</v>
      </c>
    </row>
    <row r="21" customFormat="false" ht="15" hidden="false" customHeight="true" outlineLevel="0" collapsed="false">
      <c r="A21" s="6"/>
      <c r="B21" s="7" t="s">
        <v>80</v>
      </c>
      <c r="C21" s="6"/>
      <c r="D21" s="6"/>
    </row>
    <row r="22" customFormat="false" ht="15" hidden="false" customHeight="true" outlineLevel="0" collapsed="false">
      <c r="B22" s="28" t="s">
        <v>81</v>
      </c>
      <c r="C22" s="29" t="n">
        <v>35000</v>
      </c>
    </row>
    <row r="23" customFormat="false" ht="15" hidden="false" customHeight="true" outlineLevel="0" collapsed="false">
      <c r="B23" s="28" t="s">
        <v>82</v>
      </c>
      <c r="C23" s="26" t="n">
        <v>0.82</v>
      </c>
    </row>
    <row r="24" customFormat="false" ht="15" hidden="false" customHeight="true" outlineLevel="0" collapsed="false">
      <c r="B24" s="28" t="s">
        <v>83</v>
      </c>
      <c r="C24" s="28" t="n">
        <v>4</v>
      </c>
    </row>
    <row r="25" customFormat="false" ht="15" hidden="false" customHeight="true" outlineLevel="0" collapsed="false">
      <c r="B25" s="28" t="s">
        <v>84</v>
      </c>
      <c r="C25" s="26" t="n">
        <v>0.9</v>
      </c>
    </row>
    <row r="26" customFormat="false" ht="15" hidden="false" customHeight="true" outlineLevel="0" collapsed="false">
      <c r="B26" s="12" t="s">
        <v>85</v>
      </c>
      <c r="C26" s="30" t="n">
        <f aca="false">C22*C23*C24*C25</f>
        <v>103320</v>
      </c>
    </row>
    <row r="27" customFormat="false" ht="15" hidden="false" customHeight="true" outlineLevel="0" collapsed="false">
      <c r="B27" s="16" t="s">
        <v>86</v>
      </c>
      <c r="C27" s="33" t="n">
        <f aca="false">C26/C19</f>
        <v>6.601</v>
      </c>
    </row>
    <row r="28" customFormat="false" ht="15" hidden="false" customHeight="true" outlineLevel="0" collapsed="false">
      <c r="B28" s="16" t="s">
        <v>87</v>
      </c>
      <c r="C28" s="34" t="n">
        <f aca="false">C19/(C22*C23/12)</f>
        <v>6.54446296015755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2026-03-24T19:04:49Z</dcterms:created>
  <dc:creator>openpyxl</dc:creator>
  <dc:description/>
  <dc:language>en-US</dc:language>
  <cp:lastModifiedBy/>
  <dcterms:modified xsi:type="dcterms:W3CDTF">2026-03-24T20:24:56Z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